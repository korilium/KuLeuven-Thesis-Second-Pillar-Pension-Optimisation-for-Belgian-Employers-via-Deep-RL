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wjoubert/Git/kul-agents/assessment/PeerAssessment/25-26/"/>
    </mc:Choice>
  </mc:AlternateContent>
  <xr:revisionPtr revIDLastSave="0" documentId="13_ncr:1_{8BF251F9-D9AE-A048-9326-8085231B0551}" xr6:coauthVersionLast="47" xr6:coauthVersionMax="47" xr10:uidLastSave="{00000000-0000-0000-0000-000000000000}"/>
  <bookViews>
    <workbookView xWindow="0" yWindow="600" windowWidth="51200" windowHeight="28200" xr2:uid="{740DDB6F-DFB7-1B4B-9DC8-32B7096DBD8E}"/>
  </bookViews>
  <sheets>
    <sheet name="Group 2" sheetId="1" r:id="rId1"/>
  </sheets>
  <definedNames>
    <definedName name="_xlnm.Print_Area" localSheetId="0">'Group 2'!$A$1:$H$33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G23" i="1"/>
  <c r="G25" i="1" s="1"/>
  <c r="F23" i="1"/>
  <c r="F25" i="1" s="1"/>
  <c r="E23" i="1"/>
  <c r="E25" i="1" s="1"/>
  <c r="D23" i="1"/>
  <c r="D25" i="1" s="1"/>
  <c r="G2" i="1"/>
  <c r="F2" i="1"/>
  <c r="E2" i="1"/>
  <c r="D2" i="1"/>
  <c r="H21" i="1"/>
  <c r="H20" i="1"/>
  <c r="H19" i="1"/>
  <c r="H18" i="1"/>
  <c r="H16" i="1"/>
  <c r="H15" i="1"/>
  <c r="H14" i="1"/>
  <c r="H13" i="1"/>
  <c r="H11" i="1"/>
  <c r="H10" i="1"/>
  <c r="H9" i="1"/>
  <c r="H8" i="1"/>
  <c r="H5" i="1"/>
  <c r="H6" i="1"/>
  <c r="H4" i="1"/>
  <c r="H3" i="1"/>
  <c r="G30" i="1" l="1"/>
  <c r="F30" i="1"/>
  <c r="D30" i="1"/>
  <c r="E30" i="1"/>
</calcChain>
</file>

<file path=xl/sharedStrings.xml><?xml version="1.0" encoding="utf-8"?>
<sst xmlns="http://schemas.openxmlformats.org/spreadsheetml/2006/main" count="29" uniqueCount="17">
  <si>
    <t>Total</t>
  </si>
  <si>
    <t>Preparation</t>
  </si>
  <si>
    <t>Participation</t>
  </si>
  <si>
    <t>Autonomy</t>
  </si>
  <si>
    <t>Value-add</t>
  </si>
  <si>
    <t>Person being assessed</t>
  </si>
  <si>
    <t>Person assessing</t>
  </si>
  <si>
    <t>Average</t>
  </si>
  <si>
    <t>Ratio</t>
  </si>
  <si>
    <t>Group mark</t>
  </si>
  <si>
    <t>Members</t>
  </si>
  <si>
    <t>Peer mark</t>
  </si>
  <si>
    <t>Instructions:</t>
  </si>
  <si>
    <t>Name 4</t>
  </si>
  <si>
    <t>Ignace</t>
  </si>
  <si>
    <t>Bert</t>
  </si>
  <si>
    <t>Hung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</si>
</sst>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</numFmts>
  <fonts count="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name val="Aptos Narrow"/>
      <scheme val="minor"/>
    </font>
    <font>
      <sz val="16"/>
      <color theme="0" tint="-0.34998626667073579"/>
      <name val="Aptos Narrow"/>
      <family val="2"/>
      <scheme val="minor"/>
    </font>
    <font>
      <b/>
      <sz val="18"/>
      <color theme="1"/>
      <name val="Aptos Narrow"/>
      <scheme val="minor"/>
    </font>
    <font>
      <sz val="1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2" borderId="10" xfId="0" applyFont="1" applyFill="1" applyBorder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6" fillId="2" borderId="7" xfId="1" applyNumberFormat="1" applyFont="1" applyFill="1" applyBorder="1" applyAlignment="1">
      <alignment horizontal="center" vertical="center"/>
    </xf>
    <xf numFmtId="164" fontId="7" fillId="0" borderId="0" xfId="1" applyNumberFormat="1" applyFont="1" applyAlignment="1">
      <alignment horizontal="center" vertical="center"/>
    </xf>
    <xf numFmtId="165" fontId="6" fillId="2" borderId="9" xfId="1" applyNumberFormat="1" applyFont="1" applyFill="1" applyBorder="1" applyAlignment="1">
      <alignment horizontal="center" vertical="center"/>
    </xf>
    <xf numFmtId="1" fontId="6" fillId="2" borderId="12" xfId="1" applyNumberFormat="1" applyFont="1" applyFill="1" applyBorder="1" applyAlignment="1">
      <alignment horizontal="center" vertical="center"/>
    </xf>
    <xf numFmtId="1" fontId="7" fillId="2" borderId="11" xfId="1" applyNumberFormat="1" applyFont="1" applyFill="1" applyBorder="1" applyAlignment="1">
      <alignment horizontal="center" vertical="center"/>
    </xf>
    <xf numFmtId="1" fontId="7" fillId="2" borderId="10" xfId="1" applyNumberFormat="1" applyFont="1" applyFill="1" applyBorder="1" applyAlignment="1">
      <alignment horizontal="center" vertical="center"/>
    </xf>
    <xf numFmtId="2" fontId="2" fillId="2" borderId="12" xfId="0" applyNumberFormat="1" applyFont="1" applyFill="1" applyBorder="1"/>
    <xf numFmtId="2" fontId="2" fillId="2" borderId="11" xfId="0" applyNumberFormat="1" applyFont="1" applyFill="1" applyBorder="1"/>
    <xf numFmtId="2" fontId="0" fillId="0" borderId="0" xfId="0" applyNumberFormat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165" fontId="0" fillId="0" borderId="4" xfId="1" applyNumberFormat="1" applyFont="1" applyBorder="1"/>
    <xf numFmtId="165" fontId="0" fillId="0" borderId="5" xfId="1" applyNumberFormat="1" applyFont="1" applyBorder="1"/>
    <xf numFmtId="165" fontId="0" fillId="0" borderId="6" xfId="1" applyNumberFormat="1" applyFont="1" applyBorder="1"/>
    <xf numFmtId="165" fontId="0" fillId="0" borderId="7" xfId="1" applyNumberFormat="1" applyFont="1" applyBorder="1"/>
    <xf numFmtId="165" fontId="0" fillId="0" borderId="8" xfId="1" applyNumberFormat="1" applyFont="1" applyBorder="1"/>
    <xf numFmtId="165" fontId="0" fillId="0" borderId="9" xfId="1" applyNumberFormat="1" applyFont="1" applyBorder="1"/>
    <xf numFmtId="165" fontId="0" fillId="0" borderId="2" xfId="1" applyNumberFormat="1" applyFont="1" applyFill="1" applyBorder="1"/>
    <xf numFmtId="165" fontId="0" fillId="0" borderId="4" xfId="1" applyNumberFormat="1" applyFont="1" applyFill="1" applyBorder="1"/>
    <xf numFmtId="165" fontId="0" fillId="0" borderId="6" xfId="1" applyNumberFormat="1" applyFont="1" applyFill="1" applyBorder="1"/>
    <xf numFmtId="165" fontId="0" fillId="0" borderId="1" xfId="1" applyNumberFormat="1" applyFont="1" applyFill="1" applyBorder="1"/>
    <xf numFmtId="165" fontId="0" fillId="0" borderId="3" xfId="1" applyNumberFormat="1" applyFont="1" applyFill="1" applyBorder="1"/>
    <xf numFmtId="165" fontId="0" fillId="0" borderId="5" xfId="1" applyNumberFormat="1" applyFont="1" applyFill="1" applyBorder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textRotation="90" wrapText="1"/>
    </xf>
    <xf numFmtId="0" fontId="2" fillId="0" borderId="13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3" fillId="0" borderId="16" xfId="0" quotePrefix="1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4" fillId="0" borderId="0" xfId="0" applyFont="1" applyAlignment="1">
      <alignment horizontal="center" vertical="center" textRotation="90" wrapText="1"/>
    </xf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371A-C342-AB4F-985B-B3BD408E7B7A}">
  <sheetPr>
    <pageSetUpPr fitToPage="1"/>
  </sheetPr>
  <dimension ref="A1:H33"/>
  <sheetViews>
    <sheetView showGridLines="0" tabSelected="1" workbookViewId="0">
      <selection activeCell="B17" sqref="B17"/>
    </sheetView>
  </sheetViews>
  <sheetFormatPr baseColWidth="10" defaultRowHeight="16"/>
  <cols>
    <col min="1" max="1" width="5.83203125" customWidth="1"/>
    <col min="2" max="2" width="5.33203125" customWidth="1"/>
    <col min="3" max="3" width="11.83203125" style="1" bestFit="1" customWidth="1"/>
    <col min="4" max="7" width="13.83203125" customWidth="1"/>
  </cols>
  <sheetData>
    <row r="1" spans="1:8" ht="32" customHeight="1">
      <c r="D1" s="33" t="s">
        <v>5</v>
      </c>
      <c r="E1" s="33"/>
      <c r="F1" s="33"/>
      <c r="G1" s="33"/>
    </row>
    <row r="2" spans="1:8" s="2" customFormat="1">
      <c r="D2" s="2" t="str">
        <f>B3</f>
        <v>Ignace</v>
      </c>
      <c r="E2" s="2" t="str">
        <f>B8</f>
        <v>Bert</v>
      </c>
      <c r="F2" s="2" t="str">
        <f>B13</f>
        <v>Hung Sum</v>
      </c>
      <c r="G2" s="2" t="str">
        <f>IF(B18="","",B18)</f>
        <v>Name 4</v>
      </c>
      <c r="H2" s="2" t="s">
        <v>0</v>
      </c>
    </row>
    <row r="3" spans="1:8" ht="22" customHeight="1">
      <c r="A3" s="34" t="s">
        <v>6</v>
      </c>
      <c r="B3" s="41" t="s">
        <v>14</v>
      </c>
      <c r="C3" s="3" t="s">
        <v>1</v>
      </c>
      <c r="D3" s="18"/>
      <c r="E3" s="19"/>
      <c r="F3" s="19"/>
      <c r="G3" s="27"/>
      <c r="H3" s="24">
        <f>SUM(D3:G3)</f>
        <v>0</v>
      </c>
    </row>
    <row r="4" spans="1:8" ht="22" customHeight="1">
      <c r="A4" s="34"/>
      <c r="B4" s="41"/>
      <c r="C4" s="3" t="s">
        <v>2</v>
      </c>
      <c r="D4" s="20"/>
      <c r="E4" s="21"/>
      <c r="F4" s="21"/>
      <c r="G4" s="28"/>
      <c r="H4" s="25">
        <f>SUM(D4:G4)</f>
        <v>0</v>
      </c>
    </row>
    <row r="5" spans="1:8" ht="22" customHeight="1">
      <c r="A5" s="34"/>
      <c r="B5" s="41"/>
      <c r="C5" s="3" t="s">
        <v>3</v>
      </c>
      <c r="D5" s="20"/>
      <c r="E5" s="21"/>
      <c r="F5" s="21"/>
      <c r="G5" s="28"/>
      <c r="H5" s="25">
        <f>SUM(D5:G5)</f>
        <v>0</v>
      </c>
    </row>
    <row r="6" spans="1:8" ht="22" customHeight="1">
      <c r="A6" s="34"/>
      <c r="B6" s="41"/>
      <c r="C6" s="3" t="s">
        <v>4</v>
      </c>
      <c r="D6" s="22"/>
      <c r="E6" s="23"/>
      <c r="F6" s="23"/>
      <c r="G6" s="29"/>
      <c r="H6" s="26">
        <f>SUM(D6:G6)</f>
        <v>0</v>
      </c>
    </row>
    <row r="7" spans="1:8" ht="3" customHeight="1">
      <c r="A7" s="34"/>
    </row>
    <row r="8" spans="1:8" ht="22" customHeight="1">
      <c r="A8" s="34"/>
      <c r="B8" s="41" t="s">
        <v>15</v>
      </c>
      <c r="C8" s="3" t="s">
        <v>1</v>
      </c>
      <c r="D8" s="18"/>
      <c r="E8" s="19"/>
      <c r="F8" s="19"/>
      <c r="G8" s="27"/>
      <c r="H8" s="24">
        <f>SUM(D8:G8)</f>
        <v>0</v>
      </c>
    </row>
    <row r="9" spans="1:8" ht="22" customHeight="1">
      <c r="A9" s="34"/>
      <c r="B9" s="41"/>
      <c r="C9" s="3" t="s">
        <v>2</v>
      </c>
      <c r="D9" s="20"/>
      <c r="E9" s="21"/>
      <c r="F9" s="21"/>
      <c r="G9" s="28"/>
      <c r="H9" s="25">
        <f>SUM(D9:G9)</f>
        <v>0</v>
      </c>
    </row>
    <row r="10" spans="1:8" ht="22" customHeight="1">
      <c r="A10" s="34"/>
      <c r="B10" s="41"/>
      <c r="C10" s="3" t="s">
        <v>3</v>
      </c>
      <c r="D10" s="20"/>
      <c r="E10" s="21"/>
      <c r="F10" s="21"/>
      <c r="G10" s="28"/>
      <c r="H10" s="25">
        <f>SUM(D10:G10)</f>
        <v>0</v>
      </c>
    </row>
    <row r="11" spans="1:8" ht="22" customHeight="1">
      <c r="A11" s="34"/>
      <c r="B11" s="41"/>
      <c r="C11" s="3" t="s">
        <v>4</v>
      </c>
      <c r="D11" s="22"/>
      <c r="E11" s="23"/>
      <c r="F11" s="23"/>
      <c r="G11" s="29"/>
      <c r="H11" s="26">
        <f>SUM(D11:G11)</f>
        <v>0</v>
      </c>
    </row>
    <row r="12" spans="1:8" ht="3" customHeight="1">
      <c r="A12" s="34"/>
    </row>
    <row r="13" spans="1:8" ht="22" customHeight="1">
      <c r="A13" s="34"/>
      <c r="B13" s="41" t="s">
        <v>16</v>
      </c>
      <c r="C13" s="3" t="s">
        <v>1</v>
      </c>
      <c r="D13" s="18"/>
      <c r="E13" s="19"/>
      <c r="F13" s="19"/>
      <c r="G13" s="27"/>
      <c r="H13" s="24">
        <f>SUM(D13:G13)</f>
        <v>0</v>
      </c>
    </row>
    <row r="14" spans="1:8" ht="22" customHeight="1">
      <c r="A14" s="34"/>
      <c r="B14" s="41"/>
      <c r="C14" s="3" t="s">
        <v>2</v>
      </c>
      <c r="D14" s="20"/>
      <c r="E14" s="21"/>
      <c r="F14" s="21"/>
      <c r="G14" s="28"/>
      <c r="H14" s="25">
        <f>SUM(D14:G14)</f>
        <v>0</v>
      </c>
    </row>
    <row r="15" spans="1:8" ht="22" customHeight="1">
      <c r="A15" s="34"/>
      <c r="B15" s="41"/>
      <c r="C15" s="3" t="s">
        <v>3</v>
      </c>
      <c r="D15" s="20"/>
      <c r="E15" s="21"/>
      <c r="F15" s="21"/>
      <c r="G15" s="28"/>
      <c r="H15" s="25">
        <f>SUM(D15:G15)</f>
        <v>0</v>
      </c>
    </row>
    <row r="16" spans="1:8" ht="22" customHeight="1">
      <c r="A16" s="34"/>
      <c r="B16" s="41"/>
      <c r="C16" s="3" t="s">
        <v>4</v>
      </c>
      <c r="D16" s="22"/>
      <c r="E16" s="23"/>
      <c r="F16" s="23"/>
      <c r="G16" s="29"/>
      <c r="H16" s="26">
        <f>SUM(D16:G16)</f>
        <v>0</v>
      </c>
    </row>
    <row r="17" spans="1:8" ht="3" customHeight="1">
      <c r="A17" s="34"/>
    </row>
    <row r="18" spans="1:8" ht="22" customHeight="1">
      <c r="A18" s="34"/>
      <c r="B18" s="41" t="s">
        <v>13</v>
      </c>
      <c r="C18" s="3" t="s">
        <v>1</v>
      </c>
      <c r="D18" s="30"/>
      <c r="E18" s="27"/>
      <c r="F18" s="27"/>
      <c r="G18" s="27"/>
      <c r="H18" s="24">
        <f>SUM(D18:G18)</f>
        <v>0</v>
      </c>
    </row>
    <row r="19" spans="1:8" ht="22" customHeight="1">
      <c r="A19" s="34"/>
      <c r="B19" s="41"/>
      <c r="C19" s="3" t="s">
        <v>2</v>
      </c>
      <c r="D19" s="31"/>
      <c r="E19" s="28"/>
      <c r="F19" s="28"/>
      <c r="G19" s="28"/>
      <c r="H19" s="25">
        <f>SUM(D19:G19)</f>
        <v>0</v>
      </c>
    </row>
    <row r="20" spans="1:8" ht="22" customHeight="1">
      <c r="A20" s="34"/>
      <c r="B20" s="41"/>
      <c r="C20" s="3" t="s">
        <v>3</v>
      </c>
      <c r="D20" s="31"/>
      <c r="E20" s="28"/>
      <c r="F20" s="28"/>
      <c r="G20" s="28"/>
      <c r="H20" s="25">
        <f>SUM(D20:G20)</f>
        <v>0</v>
      </c>
    </row>
    <row r="21" spans="1:8" ht="22" customHeight="1">
      <c r="A21" s="34"/>
      <c r="B21" s="41"/>
      <c r="C21" s="3" t="s">
        <v>4</v>
      </c>
      <c r="D21" s="32"/>
      <c r="E21" s="29"/>
      <c r="F21" s="29"/>
      <c r="G21" s="29"/>
      <c r="H21" s="26">
        <f>SUM(D21:G21)</f>
        <v>0</v>
      </c>
    </row>
    <row r="23" spans="1:8">
      <c r="C23" s="4" t="s">
        <v>7</v>
      </c>
      <c r="D23" s="15" t="str">
        <f>IF(SUM(D3:D6,D8:D11,D13:D16,D18:D21)&gt;0,AVERAGE(D3:D6,D8:D11,D13:D16,D18:D21),"")</f>
        <v/>
      </c>
      <c r="E23" s="16" t="str">
        <f t="shared" ref="E23:G23" si="0">IF(SUM(E3:E6,E8:E11,E13:E16,E18:E21)&gt;0,AVERAGE(E3:E6,E8:E11,E13:E16,E18:E21),"")</f>
        <v/>
      </c>
      <c r="F23" s="16" t="str">
        <f t="shared" si="0"/>
        <v/>
      </c>
      <c r="G23" s="5" t="str">
        <f t="shared" si="0"/>
        <v/>
      </c>
    </row>
    <row r="24" spans="1:8">
      <c r="D24" s="17"/>
      <c r="E24" s="17"/>
      <c r="F24" s="17"/>
    </row>
    <row r="25" spans="1:8">
      <c r="C25" s="4" t="s">
        <v>8</v>
      </c>
      <c r="D25" s="15" t="str">
        <f>IF(D23="","",D23/10)</f>
        <v/>
      </c>
      <c r="E25" s="16" t="str">
        <f t="shared" ref="E25:G25" si="1">IF(E23="","",E23/10)</f>
        <v/>
      </c>
      <c r="F25" s="16" t="str">
        <f t="shared" si="1"/>
        <v/>
      </c>
      <c r="G25" s="5" t="str">
        <f t="shared" si="1"/>
        <v/>
      </c>
    </row>
    <row r="27" spans="1:8" s="6" customFormat="1" ht="30" customHeight="1">
      <c r="C27" s="7" t="s">
        <v>9</v>
      </c>
      <c r="D27" s="9"/>
      <c r="E27" s="10"/>
      <c r="F27" s="10"/>
      <c r="G27" s="10"/>
    </row>
    <row r="28" spans="1:8" s="6" customFormat="1" ht="30" customHeight="1">
      <c r="C28" s="7" t="s">
        <v>10</v>
      </c>
      <c r="D28" s="11">
        <v>3</v>
      </c>
      <c r="E28" s="10"/>
      <c r="F28" s="10"/>
      <c r="G28" s="10"/>
    </row>
    <row r="29" spans="1:8" s="6" customFormat="1" ht="30" customHeight="1">
      <c r="C29" s="8"/>
      <c r="D29" s="10"/>
      <c r="E29" s="10"/>
      <c r="F29" s="10"/>
      <c r="G29" s="10"/>
    </row>
    <row r="30" spans="1:8" s="6" customFormat="1" ht="30" customHeight="1">
      <c r="C30" s="7" t="s">
        <v>11</v>
      </c>
      <c r="D30" s="12" t="str">
        <f>IF(D25="","",D25*$D$27)</f>
        <v/>
      </c>
      <c r="E30" s="13" t="str">
        <f>IF(E25="","",E25*$D$27)</f>
        <v/>
      </c>
      <c r="F30" s="13" t="str">
        <f>IF(F25="","",F25*$D$27)</f>
        <v/>
      </c>
      <c r="G30" s="14" t="str">
        <f>IF(G25="","",G25*$D$27)</f>
        <v/>
      </c>
    </row>
    <row r="32" spans="1:8" ht="21" customHeight="1">
      <c r="C32" s="35" t="s">
        <v>12</v>
      </c>
      <c r="D32" s="36"/>
      <c r="E32" s="36"/>
      <c r="F32" s="36"/>
      <c r="G32" s="36"/>
      <c r="H32" s="37"/>
    </row>
    <row r="33" spans="3:8" ht="90" customHeight="1">
      <c r="C33" s="38" t="str">
        <f>_xlfn._LONGTEXT("- Each member of the group prints/completes an assessment sheet.
- You only complete the block where your name appears on the LEFT, i.e.  as “person assessing”.
- For each row (criteria) in your block (Attendance, Participation, Autonomy &amp; Value-add) you ","distribute ") &amp; D28*10 &amp; " marks (integers only) between the group members. 
- Each of the four rows you complete must add up to " &amp; $D$28*10 &amp; "."</f>
        <v>- Each member of the group prints/completes an assessment sheet.
- You only complete the block where your name appears on the LEFT, i.e.  as “person assessing”.
- For each row (criteria) in your block (Attendance, Participation, Autonomy &amp; Value-add) you distribute 30 marks (integers only) between the group members. 
- Each of the four rows you complete must add up to 30.</v>
      </c>
      <c r="D33" s="39"/>
      <c r="E33" s="39"/>
      <c r="F33" s="39"/>
      <c r="G33" s="39"/>
      <c r="H33" s="40"/>
    </row>
  </sheetData>
  <mergeCells count="8">
    <mergeCell ref="D1:G1"/>
    <mergeCell ref="A3:A21"/>
    <mergeCell ref="C32:H32"/>
    <mergeCell ref="C33:H33"/>
    <mergeCell ref="B18:B21"/>
    <mergeCell ref="B3:B6"/>
    <mergeCell ref="B8:B11"/>
    <mergeCell ref="B13:B16"/>
  </mergeCells>
  <conditionalFormatting sqref="F3:F6 F8:F11 D13:F16">
    <cfRule type="expression" dxfId="5" priority="2">
      <formula>$D$28&lt;3</formula>
    </cfRule>
  </conditionalFormatting>
  <conditionalFormatting sqref="G3:G6 G8:G11 G13:G16 D18:G21">
    <cfRule type="expression" dxfId="4" priority="1">
      <formula>$D$28&lt;4</formula>
    </cfRule>
  </conditionalFormatting>
  <conditionalFormatting sqref="H3:H6">
    <cfRule type="expression" dxfId="3" priority="36">
      <formula>H3&lt;&gt;(10*$D$28)</formula>
    </cfRule>
  </conditionalFormatting>
  <conditionalFormatting sqref="H8:H11">
    <cfRule type="expression" dxfId="2" priority="32">
      <formula>H8&lt;&gt;(10*$D$28)</formula>
    </cfRule>
  </conditionalFormatting>
  <conditionalFormatting sqref="H13:H16">
    <cfRule type="expression" dxfId="1" priority="28">
      <formula>H13&lt;&gt;(10*$D$28)</formula>
    </cfRule>
  </conditionalFormatting>
  <conditionalFormatting sqref="H18:H21">
    <cfRule type="expression" dxfId="0" priority="24" stopIfTrue="1">
      <formula>H18&lt;&gt;(10*$D$28)</formula>
    </cfRule>
  </conditionalFormatting>
  <dataValidations count="1">
    <dataValidation type="whole" allowBlank="1" showInputMessage="1" showErrorMessage="1" sqref="D3:G6 D8:G11 D13:G16 D18:G21" xr:uid="{269079BF-EF9D-9B4F-836E-CD15CB7D3287}">
      <formula1>0</formula1>
      <formula2>$D$28*10</formula2>
    </dataValidation>
  </dataValidations>
  <pageMargins left="0.7" right="0.7" top="0.75" bottom="0.75" header="0.3" footer="0.3"/>
  <pageSetup paperSize="9" scale="52" orientation="portrait" horizontalDpi="0" verticalDpi="0"/>
  <headerFooter>
    <oddHeader>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Group 2</vt:lpstr>
      <vt:lpstr>'Group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Joubert</dc:creator>
  <cp:lastModifiedBy>Johan Joubert</cp:lastModifiedBy>
  <dcterms:created xsi:type="dcterms:W3CDTF">2025-04-09T06:58:04Z</dcterms:created>
  <dcterms:modified xsi:type="dcterms:W3CDTF">2026-06-22T15:07:12Z</dcterms:modified>
</cp:coreProperties>
</file>